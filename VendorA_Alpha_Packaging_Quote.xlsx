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<sst xmlns="http://schemas.openxmlformats.org/spreadsheetml/2006/main" count="117" uniqueCount="117">
  <si>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t xml:space="preserve">Alpha Packaging Co.</t>
  </si>
  <si>
    <t xml:space="preserve">Quotation in response to RFQ-2026-CORR-014</t>
  </si>
  <si>
    <t xml:space="preserve">Date: 22-Sep-2026    Validity: 30 days    Currency: INR</t>
  </si>
  <si>
    <t xml:space="preserve">SKU</t>
  </si>
  <si>
    <t xml:space="preserve">Description</t>
  </si>
  <si>
    <t xml:space="preserve">Ply</t>
  </si>
  <si>
    <t xml:space="preserve">GSM</t>
  </si>
  <si>
    <t xml:space="preserve">Dimensions (mm)</t>
  </si>
  <si>
    <t xml:space="preserve">Annual Qty (pcs)</t>
  </si>
  <si>
    <t xml:space="preserve">Rate per Piece (INR)</t>
  </si>
  <si>
    <t xml:space="preserve">Line Total (INR)</t>
  </si>
  <si>
    <t xml:space="preserve">CB-001</t>
  </si>
  <si>
    <t xml:space="preserve">E-comm Shipping Box (RSC), 150x100x80mm, 3-Ply Corrugated</t>
  </si>
  <si>
    <t xml:space="preserve">150x100x80</t>
  </si>
  <si>
    <t xml:space="preserve">CB-002</t>
  </si>
  <si>
    <t xml:space="preserve">E-comm Shipping Box (RSC), 200x150x100mm, 5-Ply Corrugated</t>
  </si>
  <si>
    <t xml:space="preserve">200x150x100</t>
  </si>
  <si>
    <t xml:space="preserve">CB-003</t>
  </si>
  <si>
    <t xml:space="preserve">Retail Display Box, 230x180x120mm, 3-Ply Corrugated</t>
  </si>
  <si>
    <t xml:space="preserve">230x180x120</t>
  </si>
  <si>
    <t xml:space="preserve">CB-004</t>
  </si>
  <si>
    <t xml:space="preserve">Heavy Duty Export Box, 250x200x150mm, 5-Ply Corrugated</t>
  </si>
  <si>
    <t xml:space="preserve">250x200x150</t>
  </si>
  <si>
    <t xml:space="preserve">CB-005</t>
  </si>
  <si>
    <t xml:space="preserve">Pallet Box, 300x200x150mm, 5-Ply Corrugated</t>
  </si>
  <si>
    <t xml:space="preserve">300x200x150</t>
  </si>
  <si>
    <t xml:space="preserve">CB-006</t>
  </si>
  <si>
    <t xml:space="preserve">Mailer Box, 300x250x200mm, 3-Ply Corrugated</t>
  </si>
  <si>
    <t xml:space="preserve">300x250x200</t>
  </si>
  <si>
    <t xml:space="preserve">CB-007</t>
  </si>
  <si>
    <t xml:space="preserve">E-comm Shipping Box (RSC), 350x250x200mm, 3-Ply Corrugated</t>
  </si>
  <si>
    <t xml:space="preserve">350x250x200</t>
  </si>
  <si>
    <t xml:space="preserve">CB-008</t>
  </si>
  <si>
    <t xml:space="preserve">E-comm Shipping Box (RSC), 350x300x250mm, 5-Ply Corrugated</t>
  </si>
  <si>
    <t xml:space="preserve">350x300x250</t>
  </si>
  <si>
    <t xml:space="preserve">CB-009</t>
  </si>
  <si>
    <t xml:space="preserve">Retail Display Box, 400x300x200mm, 3-Ply Corrugated</t>
  </si>
  <si>
    <t xml:space="preserve">400x300x200</t>
  </si>
  <si>
    <t xml:space="preserve">CB-010</t>
  </si>
  <si>
    <t xml:space="preserve">Heavy Duty Export Box, 400x300x250mm, 5-Ply Corrugated</t>
  </si>
  <si>
    <t xml:space="preserve">400x300x250</t>
  </si>
  <si>
    <t xml:space="preserve">CB-011</t>
  </si>
  <si>
    <t xml:space="preserve">Pallet Box, 450x350x250mm, 5-Ply Corrugated</t>
  </si>
  <si>
    <t xml:space="preserve">450x350x250</t>
  </si>
  <si>
    <t xml:space="preserve">CB-012</t>
  </si>
  <si>
    <t xml:space="preserve">Mailer Box, 450x350x300mm, 3-Ply Corrugated</t>
  </si>
  <si>
    <t xml:space="preserve">450x350x300</t>
  </si>
  <si>
    <t xml:space="preserve">CB-013</t>
  </si>
  <si>
    <t xml:space="preserve">E-comm Shipping Box (RSC), 500x350x300mm, 3-Ply Corrugated</t>
  </si>
  <si>
    <t xml:space="preserve">500x350x300</t>
  </si>
  <si>
    <t xml:space="preserve">CB-014</t>
  </si>
  <si>
    <t xml:space="preserve">E-comm Shipping Box (RSC), 500x400x300mm, 5-Ply Corrugated</t>
  </si>
  <si>
    <t xml:space="preserve">500x400x300</t>
  </si>
  <si>
    <t xml:space="preserve">CB-015</t>
  </si>
  <si>
    <t xml:space="preserve">Retail Display Box, 500x400x350mm, 3-Ply Corrugated</t>
  </si>
  <si>
    <t xml:space="preserve">500x400x350</t>
  </si>
  <si>
    <t xml:space="preserve">CB-016</t>
  </si>
  <si>
    <t xml:space="preserve">Heavy Duty Export Box, 550x400x350mm, 5-Ply Corrugated</t>
  </si>
  <si>
    <t xml:space="preserve">550x400x350</t>
  </si>
  <si>
    <t xml:space="preserve">CB-017</t>
  </si>
  <si>
    <t xml:space="preserve">Pallet Box, 600x400x350mm, 5-Ply Corrugated</t>
  </si>
  <si>
    <t xml:space="preserve">600x400x350</t>
  </si>
  <si>
    <t xml:space="preserve">CB-018</t>
  </si>
  <si>
    <t xml:space="preserve">Mailer Box, 600x450x400mm, 3-Ply Corrugated</t>
  </si>
  <si>
    <t xml:space="preserve">600x450x400</t>
  </si>
  <si>
    <t xml:space="preserve">CB-019</t>
  </si>
  <si>
    <t xml:space="preserve">E-comm Shipping Box (RSC), 600x450x450mm, 3-Ply Corrugated</t>
  </si>
  <si>
    <t xml:space="preserve">600x450x450</t>
  </si>
  <si>
    <t xml:space="preserve">CB-020</t>
  </si>
  <si>
    <t xml:space="preserve">E-comm Shipping Box (RSC), 650x450x400mm, 5-Ply Corrugated</t>
  </si>
  <si>
    <t xml:space="preserve">650x450x400</t>
  </si>
  <si>
    <t xml:space="preserve">CB-021</t>
  </si>
  <si>
    <t xml:space="preserve">Retail Display Box, 650x500x450mm, 3-Ply Corrugated</t>
  </si>
  <si>
    <t xml:space="preserve">650x500x450</t>
  </si>
  <si>
    <t xml:space="preserve">CB-022</t>
  </si>
  <si>
    <t xml:space="preserve">Heavy Duty Export Box, 700x500x450mm, 5-Ply Corrugated</t>
  </si>
  <si>
    <t xml:space="preserve">700x500x450</t>
  </si>
  <si>
    <t xml:space="preserve">CB-023</t>
  </si>
  <si>
    <t xml:space="preserve">Pallet Box, 700x550x500mm, 5-Ply Corrugated</t>
  </si>
  <si>
    <t xml:space="preserve">700x550x500</t>
  </si>
  <si>
    <t xml:space="preserve">CB-024</t>
  </si>
  <si>
    <t xml:space="preserve">Mailer Box, 750x550x500mm, 3-Ply Corrugated</t>
  </si>
  <si>
    <t xml:space="preserve">750x550x500</t>
  </si>
  <si>
    <t xml:space="preserve">CB-025</t>
  </si>
  <si>
    <t xml:space="preserve">E-comm Shipping Box (RSC), 750x600x500mm, 3-Ply Corrugated</t>
  </si>
  <si>
    <t xml:space="preserve">750x600x500</t>
  </si>
  <si>
    <t xml:space="preserve">CB-026</t>
  </si>
  <si>
    <t xml:space="preserve">E-comm Shipping Box (RSC), 800x600x500mm, 5-Ply Corrugated</t>
  </si>
  <si>
    <t xml:space="preserve">800x600x500</t>
  </si>
  <si>
    <t xml:space="preserve">CB-027</t>
  </si>
  <si>
    <t xml:space="preserve">Retail Display Box, 800x600x550mm, 3-Ply Corrugated</t>
  </si>
  <si>
    <t xml:space="preserve">800x600x550</t>
  </si>
  <si>
    <t xml:space="preserve">CB-028</t>
  </si>
  <si>
    <t xml:space="preserve">Heavy Duty Export Box, 850x650x550mm, 5-Ply Corrugated</t>
  </si>
  <si>
    <t xml:space="preserve">850x650x550</t>
  </si>
  <si>
    <t xml:space="preserve">CB-029</t>
  </si>
  <si>
    <t xml:space="preserve">Pallet Box, 900x650x600mm, 5-Ply Corrugated</t>
  </si>
  <si>
    <t xml:space="preserve">900x650x600</t>
  </si>
  <si>
    <t xml:space="preserve">CB-030</t>
  </si>
  <si>
    <t xml:space="preserve">Mailer Box, 950x700x600mm, 3-Ply Corrugated</t>
  </si>
  <si>
    <t xml:space="preserve">950x700x600</t>
  </si>
  <si>
    <t xml:space="preserve">Grand Total (INR)</t>
  </si>
  <si>
    <t xml:space="preserve">Quality &amp; Vendor Questionnaire</t>
  </si>
  <si>
    <t xml:space="preserve">ISO 9001:2015 Certified?</t>
  </si>
  <si>
    <t xml:space="preserve">Yes (Certificate No. IND-ISO-4471, valid till Mar 2027)</t>
  </si>
  <si>
    <t xml:space="preserve">MOQ per SKU</t>
  </si>
  <si>
    <t xml:space="preserve">500 pcs</t>
  </si>
  <si>
    <t xml:space="preserve">Average Lead Time (days)</t>
  </si>
  <si>
    <t xml:space="preserve">12</t>
  </si>
  <si>
    <t xml:space="preserve">Recycled Content (%)</t>
  </si>
  <si>
    <t xml:space="preserve">65%</t>
  </si>
  <si>
    <t xml:space="preserve">Defect / Rejection Rate Guarantee (%)</t>
  </si>
  <si>
    <t xml:space="preserve">1.5%</t>
  </si>
  <si>
    <t xml:space="preserve">Payment Terms</t>
  </si>
  <si>
    <t xml:space="preserve">50% advance, 50% on dispatch</t>
  </si>
  <si>
    <t xml:space="preserve">Freight</t>
  </si>
  <si>
    <t xml:space="preserve">Included (FOR destination)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</si>
</sst>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4" min="3" style="0" width="6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5" t="n">
        <v>3</v>
      </c>
      <c r="D6" s="5" t="n">
        <v>120</v>
      </c>
      <c r="E6" s="5" t="s">
        <v>13</v>
      </c>
      <c r="F6" s="5" t="n">
        <v>3000</v>
      </c>
      <c r="G6" s="6" t="n">
        <v>6.1</v>
      </c>
      <c r="H6" s="7" t="n">
        <f aca="false">F6*G6</f>
        <v>18300</v>
      </c>
    </row>
    <row r="7" customFormat="false" ht="15" hidden="false" customHeight="false" outlineLevel="0" collapsed="false">
      <c r="A7" s="5" t="s">
        <v>14</v>
      </c>
      <c r="B7" s="5" t="s">
        <v>15</v>
      </c>
      <c r="C7" s="5" t="n">
        <v>5</v>
      </c>
      <c r="D7" s="5" t="n">
        <v>180</v>
      </c>
      <c r="E7" s="5" t="s">
        <v>16</v>
      </c>
      <c r="F7" s="5" t="n">
        <v>2000</v>
      </c>
      <c r="G7" s="6" t="n">
        <v>6.15</v>
      </c>
      <c r="H7" s="7" t="n">
        <f aca="false">F7*G7</f>
        <v>12300</v>
      </c>
    </row>
    <row r="8" customFormat="false" ht="15" hidden="false" customHeight="false" outlineLevel="0" collapsed="false">
      <c r="A8" s="5" t="s">
        <v>17</v>
      </c>
      <c r="B8" s="5" t="s">
        <v>18</v>
      </c>
      <c r="C8" s="5" t="n">
        <v>3</v>
      </c>
      <c r="D8" s="5" t="n">
        <v>120</v>
      </c>
      <c r="E8" s="5" t="s">
        <v>19</v>
      </c>
      <c r="F8" s="5" t="n">
        <v>10000</v>
      </c>
      <c r="G8" s="6" t="n">
        <v>6.32</v>
      </c>
      <c r="H8" s="7" t="n">
        <f aca="false">F8*G8</f>
        <v>63200</v>
      </c>
    </row>
    <row r="9" customFormat="false" ht="15" hidden="false" customHeight="false" outlineLevel="0" collapsed="false">
      <c r="A9" s="5" t="s">
        <v>20</v>
      </c>
      <c r="B9" s="5" t="s">
        <v>21</v>
      </c>
      <c r="C9" s="5" t="n">
        <v>5</v>
      </c>
      <c r="D9" s="5" t="n">
        <v>180</v>
      </c>
      <c r="E9" s="5" t="s">
        <v>22</v>
      </c>
      <c r="F9" s="5" t="n">
        <v>8000</v>
      </c>
      <c r="G9" s="6" t="n">
        <v>7.16</v>
      </c>
      <c r="H9" s="7" t="n">
        <f aca="false">F9*G9</f>
        <v>57280</v>
      </c>
    </row>
    <row r="10" customFormat="false" ht="15" hidden="false" customHeight="false" outlineLevel="0" collapsed="false">
      <c r="A10" s="5" t="s">
        <v>23</v>
      </c>
      <c r="B10" s="5" t="s">
        <v>24</v>
      </c>
      <c r="C10" s="5" t="n">
        <v>5</v>
      </c>
      <c r="D10" s="5" t="n">
        <v>180</v>
      </c>
      <c r="E10" s="5" t="s">
        <v>25</v>
      </c>
      <c r="F10" s="5" t="n">
        <v>8000</v>
      </c>
      <c r="G10" s="6" t="n">
        <v>8.26</v>
      </c>
      <c r="H10" s="7" t="n">
        <f aca="false">F10*G10</f>
        <v>66080</v>
      </c>
    </row>
    <row r="11" customFormat="false" ht="15" hidden="false" customHeight="false" outlineLevel="0" collapsed="false">
      <c r="A11" s="5" t="s">
        <v>26</v>
      </c>
      <c r="B11" s="5" t="s">
        <v>27</v>
      </c>
      <c r="C11" s="5" t="n">
        <v>3</v>
      </c>
      <c r="D11" s="5" t="n">
        <v>120</v>
      </c>
      <c r="E11" s="5" t="s">
        <v>28</v>
      </c>
      <c r="F11" s="5" t="n">
        <v>5000</v>
      </c>
      <c r="G11" s="6" t="n">
        <v>6.72</v>
      </c>
      <c r="H11" s="7" t="n">
        <f aca="false">F11*G11</f>
        <v>33600</v>
      </c>
    </row>
    <row r="12" customFormat="false" ht="15" hidden="false" customHeight="false" outlineLevel="0" collapsed="false">
      <c r="A12" s="5" t="s">
        <v>29</v>
      </c>
      <c r="B12" s="5" t="s">
        <v>30</v>
      </c>
      <c r="C12" s="5" t="n">
        <v>3</v>
      </c>
      <c r="D12" s="5" t="n">
        <v>120</v>
      </c>
      <c r="E12" s="5" t="s">
        <v>31</v>
      </c>
      <c r="F12" s="5" t="n">
        <v>3000</v>
      </c>
      <c r="G12" s="6" t="n">
        <v>7.29</v>
      </c>
      <c r="H12" s="7" t="n">
        <f aca="false">F12*G12</f>
        <v>21870</v>
      </c>
    </row>
    <row r="13" customFormat="false" ht="15" hidden="false" customHeight="false" outlineLevel="0" collapsed="false">
      <c r="A13" s="5" t="s">
        <v>32</v>
      </c>
      <c r="B13" s="5" t="s">
        <v>33</v>
      </c>
      <c r="C13" s="5" t="n">
        <v>5</v>
      </c>
      <c r="D13" s="5" t="n">
        <v>180</v>
      </c>
      <c r="E13" s="5" t="s">
        <v>34</v>
      </c>
      <c r="F13" s="5" t="n">
        <v>3000</v>
      </c>
      <c r="G13" s="6" t="n">
        <v>16.36</v>
      </c>
      <c r="H13" s="7" t="n">
        <f aca="false">F13*G13</f>
        <v>49080</v>
      </c>
    </row>
    <row r="14" customFormat="false" ht="15" hidden="false" customHeight="false" outlineLevel="0" collapsed="false">
      <c r="A14" s="5" t="s">
        <v>35</v>
      </c>
      <c r="B14" s="5" t="s">
        <v>36</v>
      </c>
      <c r="C14" s="5" t="n">
        <v>3</v>
      </c>
      <c r="D14" s="5" t="n">
        <v>120</v>
      </c>
      <c r="E14" s="5" t="s">
        <v>37</v>
      </c>
      <c r="F14" s="5" t="n">
        <v>20000</v>
      </c>
      <c r="G14" s="6" t="n">
        <v>9.47</v>
      </c>
      <c r="H14" s="7" t="n">
        <f aca="false">F14*G14</f>
        <v>189400</v>
      </c>
    </row>
    <row r="15" customFormat="false" ht="15" hidden="false" customHeight="false" outlineLevel="0" collapsed="false">
      <c r="A15" s="5" t="s">
        <v>38</v>
      </c>
      <c r="B15" s="5" t="s">
        <v>39</v>
      </c>
      <c r="C15" s="5" t="n">
        <v>5</v>
      </c>
      <c r="D15" s="5" t="n">
        <v>180</v>
      </c>
      <c r="E15" s="5" t="s">
        <v>40</v>
      </c>
      <c r="F15" s="5" t="n">
        <v>2000</v>
      </c>
      <c r="G15" s="6" t="n">
        <v>18.44</v>
      </c>
      <c r="H15" s="7" t="n">
        <f aca="false">F15*G15</f>
        <v>36880</v>
      </c>
    </row>
    <row r="16" customFormat="false" ht="15" hidden="false" customHeight="false" outlineLevel="0" collapsed="false">
      <c r="A16" s="5" t="s">
        <v>41</v>
      </c>
      <c r="B16" s="5" t="s">
        <v>42</v>
      </c>
      <c r="C16" s="5" t="n">
        <v>5</v>
      </c>
      <c r="D16" s="5" t="n">
        <v>180</v>
      </c>
      <c r="E16" s="5" t="s">
        <v>43</v>
      </c>
      <c r="F16" s="5" t="n">
        <v>2000</v>
      </c>
      <c r="G16" s="6" t="n">
        <v>21.15</v>
      </c>
      <c r="H16" s="7" t="n">
        <f aca="false">F16*G16</f>
        <v>42300</v>
      </c>
    </row>
    <row r="17" customFormat="false" ht="15" hidden="false" customHeight="false" outlineLevel="0" collapsed="false">
      <c r="A17" s="5" t="s">
        <v>44</v>
      </c>
      <c r="B17" s="5" t="s">
        <v>45</v>
      </c>
      <c r="C17" s="5" t="n">
        <v>3</v>
      </c>
      <c r="D17" s="5" t="n">
        <v>120</v>
      </c>
      <c r="E17" s="5" t="s">
        <v>46</v>
      </c>
      <c r="F17" s="5" t="n">
        <v>3000</v>
      </c>
      <c r="G17" s="6" t="n">
        <v>14.1</v>
      </c>
      <c r="H17" s="7" t="n">
        <f aca="false">F17*G17</f>
        <v>42300</v>
      </c>
    </row>
    <row r="18" customFormat="false" ht="15" hidden="false" customHeight="false" outlineLevel="0" collapsed="false">
      <c r="A18" s="5" t="s">
        <v>47</v>
      </c>
      <c r="B18" s="5" t="s">
        <v>48</v>
      </c>
      <c r="C18" s="5" t="n">
        <v>3</v>
      </c>
      <c r="D18" s="5" t="n">
        <v>120</v>
      </c>
      <c r="E18" s="5" t="s">
        <v>49</v>
      </c>
      <c r="F18" s="5" t="n">
        <v>8000</v>
      </c>
      <c r="G18" s="6" t="n">
        <v>15</v>
      </c>
      <c r="H18" s="7" t="n">
        <f aca="false">F18*G18</f>
        <v>120000</v>
      </c>
    </row>
    <row r="19" customFormat="false" ht="15" hidden="false" customHeight="false" outlineLevel="0" collapsed="false">
      <c r="A19" s="5" t="s">
        <v>50</v>
      </c>
      <c r="B19" s="5" t="s">
        <v>51</v>
      </c>
      <c r="C19" s="5" t="n">
        <v>5</v>
      </c>
      <c r="D19" s="5" t="n">
        <v>180</v>
      </c>
      <c r="E19" s="5" t="s">
        <v>52</v>
      </c>
      <c r="F19" s="5" t="n">
        <v>8000</v>
      </c>
      <c r="G19" s="6" t="n">
        <v>29.41</v>
      </c>
      <c r="H19" s="7" t="n">
        <f aca="false">F19*G19</f>
        <v>235280</v>
      </c>
    </row>
    <row r="20" customFormat="false" ht="15" hidden="false" customHeight="false" outlineLevel="0" collapsed="false">
      <c r="A20" s="5" t="s">
        <v>53</v>
      </c>
      <c r="B20" s="5" t="s">
        <v>54</v>
      </c>
      <c r="C20" s="5" t="n">
        <v>3</v>
      </c>
      <c r="D20" s="5" t="n">
        <v>120</v>
      </c>
      <c r="E20" s="5" t="s">
        <v>55</v>
      </c>
      <c r="F20" s="5" t="n">
        <v>2000</v>
      </c>
      <c r="G20" s="6" t="n">
        <v>18.84</v>
      </c>
      <c r="H20" s="7" t="n">
        <f aca="false">F20*G20</f>
        <v>37680</v>
      </c>
    </row>
    <row r="21" customFormat="false" ht="15" hidden="false" customHeight="false" outlineLevel="0" collapsed="false">
      <c r="A21" s="5" t="s">
        <v>56</v>
      </c>
      <c r="B21" s="5" t="s">
        <v>57</v>
      </c>
      <c r="C21" s="5" t="n">
        <v>5</v>
      </c>
      <c r="D21" s="5" t="n">
        <v>180</v>
      </c>
      <c r="E21" s="5" t="s">
        <v>58</v>
      </c>
      <c r="F21" s="5" t="n">
        <v>8000</v>
      </c>
      <c r="G21" s="6" t="n">
        <v>32.55</v>
      </c>
      <c r="H21" s="7" t="n">
        <f aca="false">F21*G21</f>
        <v>260400</v>
      </c>
    </row>
    <row r="22" customFormat="false" ht="15" hidden="false" customHeight="false" outlineLevel="0" collapsed="false">
      <c r="A22" s="5" t="s">
        <v>59</v>
      </c>
      <c r="B22" s="5" t="s">
        <v>60</v>
      </c>
      <c r="C22" s="5" t="n">
        <v>5</v>
      </c>
      <c r="D22" s="5" t="n">
        <v>180</v>
      </c>
      <c r="E22" s="5" t="s">
        <v>61</v>
      </c>
      <c r="F22" s="5" t="n">
        <v>20000</v>
      </c>
      <c r="G22" s="6" t="n">
        <v>37.41</v>
      </c>
      <c r="H22" s="7" t="n">
        <f aca="false">F22*G22</f>
        <v>748200</v>
      </c>
    </row>
    <row r="23" customFormat="false" ht="15" hidden="false" customHeight="false" outlineLevel="0" collapsed="false">
      <c r="A23" s="5" t="s">
        <v>62</v>
      </c>
      <c r="B23" s="5" t="s">
        <v>63</v>
      </c>
      <c r="C23" s="5" t="n">
        <v>3</v>
      </c>
      <c r="D23" s="5" t="n">
        <v>120</v>
      </c>
      <c r="E23" s="5" t="s">
        <v>64</v>
      </c>
      <c r="F23" s="5" t="n">
        <v>8000</v>
      </c>
      <c r="G23" s="6" t="n">
        <v>25.77</v>
      </c>
      <c r="H23" s="7" t="n">
        <f aca="false">F23*G23</f>
        <v>206160</v>
      </c>
    </row>
    <row r="24" customFormat="false" ht="15" hidden="false" customHeight="false" outlineLevel="0" collapsed="false">
      <c r="A24" s="5" t="s">
        <v>65</v>
      </c>
      <c r="B24" s="5" t="s">
        <v>66</v>
      </c>
      <c r="C24" s="5" t="n">
        <v>3</v>
      </c>
      <c r="D24" s="5" t="n">
        <v>120</v>
      </c>
      <c r="E24" s="5" t="s">
        <v>67</v>
      </c>
      <c r="F24" s="5" t="n">
        <v>25000</v>
      </c>
      <c r="G24" s="6" t="n">
        <v>27.08</v>
      </c>
      <c r="H24" s="7" t="n">
        <f aca="false">F24*G24</f>
        <v>677000</v>
      </c>
    </row>
    <row r="25" customFormat="false" ht="15" hidden="false" customHeight="false" outlineLevel="0" collapsed="false">
      <c r="A25" s="5" t="s">
        <v>68</v>
      </c>
      <c r="B25" s="5" t="s">
        <v>69</v>
      </c>
      <c r="C25" s="5" t="n">
        <v>5</v>
      </c>
      <c r="D25" s="5" t="n">
        <v>180</v>
      </c>
      <c r="E25" s="5" t="s">
        <v>70</v>
      </c>
      <c r="F25" s="5" t="n">
        <v>10000</v>
      </c>
      <c r="G25" s="6" t="n">
        <v>45.16</v>
      </c>
      <c r="H25" s="7" t="n">
        <f aca="false">F25*G25</f>
        <v>451600</v>
      </c>
    </row>
    <row r="26" customFormat="false" ht="15" hidden="false" customHeight="false" outlineLevel="0" collapsed="false">
      <c r="A26" s="5" t="s">
        <v>71</v>
      </c>
      <c r="B26" s="5" t="s">
        <v>72</v>
      </c>
      <c r="C26" s="5" t="n">
        <v>3</v>
      </c>
      <c r="D26" s="5" t="n">
        <v>120</v>
      </c>
      <c r="E26" s="5" t="s">
        <v>73</v>
      </c>
      <c r="F26" s="5" t="n">
        <v>2000</v>
      </c>
      <c r="G26" s="6" t="n">
        <v>29.54</v>
      </c>
      <c r="H26" s="7" t="n">
        <f aca="false">F26*G26</f>
        <v>59080</v>
      </c>
    </row>
    <row r="27" customFormat="false" ht="15" hidden="false" customHeight="false" outlineLevel="0" collapsed="false">
      <c r="A27" s="5" t="s">
        <v>74</v>
      </c>
      <c r="B27" s="5" t="s">
        <v>75</v>
      </c>
      <c r="C27" s="5" t="n">
        <v>5</v>
      </c>
      <c r="D27" s="5" t="n">
        <v>180</v>
      </c>
      <c r="E27" s="5" t="s">
        <v>76</v>
      </c>
      <c r="F27" s="5" t="n">
        <v>5000</v>
      </c>
      <c r="G27" s="6" t="n">
        <v>52.31</v>
      </c>
      <c r="H27" s="7" t="n">
        <f aca="false">F27*G27</f>
        <v>261550</v>
      </c>
    </row>
    <row r="28" customFormat="false" ht="15" hidden="false" customHeight="false" outlineLevel="0" collapsed="false">
      <c r="A28" s="5" t="s">
        <v>77</v>
      </c>
      <c r="B28" s="5" t="s">
        <v>78</v>
      </c>
      <c r="C28" s="5" t="n">
        <v>5</v>
      </c>
      <c r="D28" s="5" t="n">
        <v>180</v>
      </c>
      <c r="E28" s="5" t="s">
        <v>79</v>
      </c>
      <c r="F28" s="5" t="n">
        <v>20000</v>
      </c>
      <c r="G28" s="6" t="n">
        <v>61.85</v>
      </c>
      <c r="H28" s="7" t="n">
        <f aca="false">F28*G28</f>
        <v>1237000</v>
      </c>
    </row>
    <row r="29" customFormat="false" ht="15" hidden="false" customHeight="false" outlineLevel="0" collapsed="false">
      <c r="A29" s="5" t="s">
        <v>80</v>
      </c>
      <c r="B29" s="5" t="s">
        <v>81</v>
      </c>
      <c r="C29" s="5" t="n">
        <v>3</v>
      </c>
      <c r="D29" s="5" t="n">
        <v>120</v>
      </c>
      <c r="E29" s="5" t="s">
        <v>82</v>
      </c>
      <c r="F29" s="5" t="n">
        <v>15000</v>
      </c>
      <c r="G29" s="6" t="n">
        <v>36.97</v>
      </c>
      <c r="H29" s="7" t="n">
        <f aca="false">F29*G29</f>
        <v>554550</v>
      </c>
    </row>
    <row r="30" customFormat="false" ht="15" hidden="false" customHeight="false" outlineLevel="0" collapsed="false">
      <c r="A30" s="5" t="s">
        <v>83</v>
      </c>
      <c r="B30" s="5" t="s">
        <v>84</v>
      </c>
      <c r="C30" s="5" t="n">
        <v>3</v>
      </c>
      <c r="D30" s="5" t="n">
        <v>120</v>
      </c>
      <c r="E30" s="5" t="s">
        <v>85</v>
      </c>
      <c r="F30" s="5" t="n">
        <v>10000</v>
      </c>
      <c r="G30" s="6" t="n">
        <v>39.55</v>
      </c>
      <c r="H30" s="7" t="n">
        <f aca="false">F30*G30</f>
        <v>395500</v>
      </c>
    </row>
    <row r="31" customFormat="false" ht="15" hidden="false" customHeight="false" outlineLevel="0" collapsed="false">
      <c r="A31" s="5" t="s">
        <v>86</v>
      </c>
      <c r="B31" s="5" t="s">
        <v>87</v>
      </c>
      <c r="C31" s="5" t="n">
        <v>5</v>
      </c>
      <c r="D31" s="5" t="n">
        <v>180</v>
      </c>
      <c r="E31" s="5" t="s">
        <v>88</v>
      </c>
      <c r="F31" s="5" t="n">
        <v>5000</v>
      </c>
      <c r="G31" s="6" t="n">
        <v>70.64</v>
      </c>
      <c r="H31" s="7" t="n">
        <f aca="false">F31*G31</f>
        <v>353200</v>
      </c>
    </row>
    <row r="32" customFormat="false" ht="15" hidden="false" customHeight="false" outlineLevel="0" collapsed="false">
      <c r="A32" s="5" t="s">
        <v>89</v>
      </c>
      <c r="B32" s="5" t="s">
        <v>90</v>
      </c>
      <c r="C32" s="5" t="n">
        <v>3</v>
      </c>
      <c r="D32" s="5" t="n">
        <v>120</v>
      </c>
      <c r="E32" s="5" t="s">
        <v>91</v>
      </c>
      <c r="F32" s="5" t="n">
        <v>8000</v>
      </c>
      <c r="G32" s="6" t="n">
        <v>43.38</v>
      </c>
      <c r="H32" s="7" t="n">
        <f aca="false">F32*G32</f>
        <v>347040</v>
      </c>
    </row>
    <row r="33" customFormat="false" ht="15" hidden="false" customHeight="false" outlineLevel="0" collapsed="false">
      <c r="A33" s="5" t="s">
        <v>92</v>
      </c>
      <c r="B33" s="5" t="s">
        <v>93</v>
      </c>
      <c r="C33" s="5" t="n">
        <v>5</v>
      </c>
      <c r="D33" s="5" t="n">
        <v>180</v>
      </c>
      <c r="E33" s="5" t="s">
        <v>94</v>
      </c>
      <c r="F33" s="5" t="n">
        <v>15000</v>
      </c>
      <c r="G33" s="6" t="n">
        <v>83.93</v>
      </c>
      <c r="H33" s="7" t="n">
        <f aca="false">F33*G33</f>
        <v>1258950</v>
      </c>
    </row>
    <row r="34" customFormat="false" ht="15" hidden="false" customHeight="false" outlineLevel="0" collapsed="false">
      <c r="A34" s="5" t="s">
        <v>95</v>
      </c>
      <c r="B34" s="5" t="s">
        <v>96</v>
      </c>
      <c r="C34" s="5" t="n">
        <v>5</v>
      </c>
      <c r="D34" s="5" t="n">
        <v>180</v>
      </c>
      <c r="E34" s="5" t="s">
        <v>97</v>
      </c>
      <c r="F34" s="5" t="n">
        <v>3000</v>
      </c>
      <c r="G34" s="6" t="n">
        <v>92.13</v>
      </c>
      <c r="H34" s="7" t="n">
        <f aca="false">F34*G34</f>
        <v>276390</v>
      </c>
    </row>
    <row r="35" customFormat="false" ht="15" hidden="false" customHeight="false" outlineLevel="0" collapsed="false">
      <c r="A35" s="5" t="s">
        <v>98</v>
      </c>
      <c r="B35" s="5" t="s">
        <v>99</v>
      </c>
      <c r="C35" s="5" t="n">
        <v>3</v>
      </c>
      <c r="D35" s="5" t="n">
        <v>120</v>
      </c>
      <c r="E35" s="5" t="s">
        <v>100</v>
      </c>
      <c r="F35" s="5" t="n">
        <v>3000</v>
      </c>
      <c r="G35" s="6" t="n">
        <v>61.24</v>
      </c>
      <c r="H35" s="7" t="n">
        <f aca="false">F35*G35</f>
        <v>183720</v>
      </c>
    </row>
    <row r="37" customFormat="false" ht="15" hidden="false" customHeight="false" outlineLevel="0" collapsed="false">
      <c r="G37" s="8" t="s">
        <v>101</v>
      </c>
      <c r="H37" s="9" t="n">
        <f aca="false">SUM(H6:H35)</f>
        <v>8295890</v>
      </c>
    </row>
    <row r="40" customFormat="false" ht="15" hidden="false" customHeight="false" outlineLevel="0" collapsed="false">
      <c r="A40" s="10" t="s">
        <v>102</v>
      </c>
    </row>
    <row r="41" customFormat="false" ht="15" hidden="false" customHeight="false" outlineLevel="0" collapsed="false">
      <c r="A41" s="11" t="s">
        <v>103</v>
      </c>
      <c r="B41" s="3" t="s">
        <v>104</v>
      </c>
    </row>
    <row r="42" customFormat="false" ht="15" hidden="false" customHeight="false" outlineLevel="0" collapsed="false">
      <c r="A42" s="11" t="s">
        <v>105</v>
      </c>
      <c r="B42" s="3" t="s">
        <v>106</v>
      </c>
    </row>
    <row r="43" customFormat="false" ht="15" hidden="false" customHeight="false" outlineLevel="0" collapsed="false">
      <c r="A43" s="11" t="s">
        <v>107</v>
      </c>
      <c r="B43" s="3" t="s">
        <v>108</v>
      </c>
    </row>
    <row r="44" customFormat="false" ht="15" hidden="false" customHeight="false" outlineLevel="0" collapsed="false">
      <c r="A44" s="11" t="s">
        <v>109</v>
      </c>
      <c r="B44" s="3" t="s">
        <v>110</v>
      </c>
    </row>
    <row r="45" customFormat="false" ht="15" hidden="false" customHeight="false" outlineLevel="0" collapsed="false">
      <c r="A45" s="11" t="s">
        <v>111</v>
      </c>
      <c r="B45" s="3" t="s">
        <v>112</v>
      </c>
    </row>
    <row r="46" customFormat="false" ht="15" hidden="false" customHeight="false" outlineLevel="0" collapsed="false">
      <c r="A46" s="11" t="s">
        <v>113</v>
      </c>
      <c r="B46" s="3" t="s">
        <v>114</v>
      </c>
    </row>
    <row r="47" customFormat="false" ht="15" hidden="false" customHeight="false" outlineLevel="0" collapsed="false">
      <c r="A47" s="11" t="s">
        <v>115</v>
      </c>
      <c r="B47" s="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2026-09-25T05:52:05Z</dcterms:created>
  <dc:creator>openpyxl</dc:creator>
  <dc:description/>
  <dc:language>en-US</dc:language>
  <cp:lastModifiedBy/>
  <dcterms:modified xsi:type="dcterms:W3CDTF">2026-09-25T05:52:05Z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